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date1904="1" codeName="ThisWorkbook" defaultThemeVersion="124226"/>
  <bookViews>
    <workbookView xWindow="675" yWindow="75" windowWidth="11415" windowHeight="4860"/>
  </bookViews>
  <sheets>
    <sheet name="Solution" sheetId="1" r:id="rId1"/>
    <sheet name="P0fm Function" sheetId="2" state="veryHidden" r:id=""/>
    <sheet name="Lqfm Function" sheetId="3" state="veryHidden" r:id=""/>
    <sheet name="Lfm Function" sheetId="4" state="veryHidden" r:id=""/>
    <sheet name="Pwfm Function" sheetId="5" state="veryHidden" r:id=""/>
    <sheet name="Sheet2" sheetId="6" r:id="rId2"/>
    <sheet name="Sheet3" sheetId="7" r:id="rId3"/>
    <sheet name="Sheet4" sheetId="8" r:id="rId4"/>
    <sheet name="Sheet5" sheetId="9" r:id="rId5"/>
    <sheet name="Sheet6" sheetId="10" r:id="rId6"/>
    <sheet name="Sheet7" sheetId="11" r:id="rId7"/>
    <sheet name="Sheet8" sheetId="12" r:id="rId8"/>
    <sheet name="Sheet9" sheetId="13" r:id="rId9"/>
    <sheet name="Sheet10" sheetId="14" r:id="rId10"/>
    <sheet name="Sheet11" sheetId="15" r:id="rId11"/>
    <sheet name="Sheet12" sheetId="16" r:id="rId12"/>
    <sheet name="Sheet13" sheetId="17" r:id="rId13"/>
    <sheet name="Sheet14" sheetId="18" r:id="rId14"/>
    <sheet name="Sheet15" sheetId="19" r:id="rId15"/>
    <sheet name="Sheet16" sheetId="20" r:id="rId16"/>
  </sheets>
  <functionGroups/>
  <calcPr calcId="125725"/>
</workbook>
</file>

<file path=xl/calcChain.xml><?xml version="1.0" encoding="utf-8"?>
<calcChain xmlns="http://schemas.openxmlformats.org/spreadsheetml/2006/main">
  <c r="C16" i="1"/>
  <c r="C21" s="1"/>
  <c r="C17"/>
  <c r="C18" s="1"/>
  <c r="C19" l="1"/>
  <c r="C20" s="1"/>
  <c r="C29"/>
</calcChain>
</file>

<file path=xl/sharedStrings.xml><?xml version="1.0" encoding="utf-8"?>
<sst xmlns="http://schemas.openxmlformats.org/spreadsheetml/2006/main" count="20" uniqueCount="20">
  <si>
    <t xml:space="preserve">Assumptions  </t>
  </si>
  <si>
    <t xml:space="preserve">     Poisson Arrivals</t>
  </si>
  <si>
    <t xml:space="preserve">     Exponential Service Times</t>
  </si>
  <si>
    <t xml:space="preserve">     Finite Calling Population </t>
  </si>
  <si>
    <t>Operating Characteristics</t>
  </si>
  <si>
    <t xml:space="preserve">     The waiting cost per unit</t>
  </si>
  <si>
    <t xml:space="preserve">     The service cost per channel</t>
  </si>
  <si>
    <t xml:space="preserve">     Total cost per time period</t>
  </si>
  <si>
    <t xml:space="preserve">      Number of Channels</t>
  </si>
  <si>
    <t xml:space="preserve">      Population Size</t>
  </si>
  <si>
    <t>Probability that no machines are in the system, Po</t>
  </si>
  <si>
    <t>Average number of machines in the waiting line, Lq</t>
  </si>
  <si>
    <t>Average number of machines in the system, L</t>
  </si>
  <si>
    <t>Average time a machine spends in the waiting line, Wq</t>
  </si>
  <si>
    <t>Average time a machine spends in the system, W</t>
  </si>
  <si>
    <t>Probability an arriving machine has to wait, Pw</t>
  </si>
  <si>
    <t>Economic Analysis (Optional)</t>
  </si>
  <si>
    <t>Waiting Line Model with a Finite Calling Population</t>
  </si>
  <si>
    <t xml:space="preserve">      Service Rate For Each Channel</t>
  </si>
  <si>
    <t xml:space="preserve">      Arrival Rate For Each Unit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</si>
</sst>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5" formatCode="0.0000"/>
  </numFmts>
  <fonts count="6">
    <font>
      <sz val="10"/>
      <name val="Geneva"/>
    </font>
    <font>
      <b/>
      <sz val="10"/>
      <name val="Geneva"/>
    </font>
    <font>
      <sz val="10"/>
      <name val="Geneva"/>
    </font>
    <font>
      <b/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/>
    <xf numFmtId="165" fontId="4" fillId="2" borderId="1" xfId="0" applyNumberFormat="1" applyFont="1" applyFill="1" applyBorder="1"/>
    <xf numFmtId="165" fontId="4" fillId="2" borderId="2" xfId="0" applyNumberFormat="1" applyFont="1" applyFill="1" applyBorder="1"/>
    <xf numFmtId="165" fontId="4" fillId="2" borderId="3" xfId="0" applyNumberFormat="1" applyFont="1" applyFill="1" applyBorder="1"/>
    <xf numFmtId="0" fontId="4" fillId="0" borderId="0" xfId="0" applyFont="1" applyAlignment="1">
      <alignment horizontal="left"/>
    </xf>
    <xf numFmtId="44" fontId="4" fillId="2" borderId="4" xfId="1" applyFont="1" applyFill="1" applyBorder="1"/>
    <xf numFmtId="0" fontId="1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29"/>
  <sheetViews>
    <sheetView tabSelected="1" workbookViewId="0"/>
  </sheetViews>
  <sheetFormatPr defaultColWidth="10.7109375" defaultRowHeight="15.75"/>
  <cols>
    <col min="1" max="1" width="38.7109375" style="2" customWidth="1"/>
    <col min="2" max="2" width="12.140625" style="2" customWidth="1"/>
    <col min="3" max="3" width="12.28515625" style="2" customWidth="1"/>
    <col min="4" max="16384" width="10.7109375" style="2"/>
  </cols>
  <sheetData>
    <row r="1" spans="1:3" ht="18.75">
      <c r="A1" s="1" t="s">
        <v>17</v>
      </c>
    </row>
    <row r="3" spans="1:3">
      <c r="A3" s="3" t="s">
        <v>0</v>
      </c>
    </row>
    <row r="4" spans="1:3">
      <c r="A4" s="3" t="s">
        <v>1</v>
      </c>
    </row>
    <row r="5" spans="1:3">
      <c r="A5" s="3" t="s">
        <v>2</v>
      </c>
    </row>
    <row r="6" spans="1:3">
      <c r="A6" s="3" t="s">
        <v>3</v>
      </c>
    </row>
    <row r="7" spans="1:3" ht="16.5" thickBot="1"/>
    <row r="8" spans="1:3">
      <c r="A8" s="2" t="s">
        <v>8</v>
      </c>
      <c r="B8" s="4">
        <v>2</v>
      </c>
    </row>
    <row r="9" spans="1:3">
      <c r="A9" s="2" t="s">
        <v>19</v>
      </c>
      <c r="B9" s="5">
        <v>0.05</v>
      </c>
    </row>
    <row r="10" spans="1:3">
      <c r="A10" s="2" t="s">
        <v>18</v>
      </c>
      <c r="B10" s="5">
        <v>0.5</v>
      </c>
    </row>
    <row r="11" spans="1:3" ht="16.5" thickBot="1">
      <c r="A11" s="2" t="s">
        <v>9</v>
      </c>
      <c r="B11" s="6">
        <v>6</v>
      </c>
    </row>
    <row r="14" spans="1:3">
      <c r="A14" s="3" t="s">
        <v>4</v>
      </c>
    </row>
    <row r="15" spans="1:3" ht="16.5" thickBot="1"/>
    <row r="16" spans="1:3">
      <c r="A16" s="2" t="s">
        <v>10</v>
      </c>
      <c r="C16" s="7">
        <f>P0fm(B8,B9,B10,B11)</f>
        <v>0.56023272067216723</v>
      </c>
    </row>
    <row r="17" spans="1:3">
      <c r="A17" s="2" t="s">
        <v>11</v>
      </c>
      <c r="C17" s="8">
        <f>Lqfm(B8,B9,B10,B11,C16)</f>
        <v>2.2655811223982445E-2</v>
      </c>
    </row>
    <row r="18" spans="1:3">
      <c r="A18" s="2" t="s">
        <v>12</v>
      </c>
      <c r="C18" s="8">
        <f>Lfm(B8,B9,B10,B11,C16,C17)</f>
        <v>0.56605073747634771</v>
      </c>
    </row>
    <row r="19" spans="1:3">
      <c r="A19" s="2" t="s">
        <v>13</v>
      </c>
      <c r="C19" s="8">
        <f>C17/((B11-C18)*B9)</f>
        <v>8.3386171380851498E-2</v>
      </c>
    </row>
    <row r="20" spans="1:3">
      <c r="A20" s="2" t="s">
        <v>14</v>
      </c>
      <c r="C20" s="8">
        <f>C19+1/B10</f>
        <v>2.0833861713808517</v>
      </c>
    </row>
    <row r="21" spans="1:3" ht="16.5" thickBot="1">
      <c r="A21" s="2" t="s">
        <v>15</v>
      </c>
      <c r="C21" s="9">
        <f>Pwfm(B8,B9,B10,B11,C16)</f>
        <v>0.10362764692453241</v>
      </c>
    </row>
    <row r="24" spans="1:3">
      <c r="A24" s="3" t="s">
        <v>16</v>
      </c>
    </row>
    <row r="25" spans="1:3" ht="16.5" thickBot="1"/>
    <row r="26" spans="1:3">
      <c r="A26" s="10" t="s">
        <v>5</v>
      </c>
      <c r="B26" s="4"/>
    </row>
    <row r="27" spans="1:3" ht="16.5" thickBot="1">
      <c r="A27" s="10" t="s">
        <v>6</v>
      </c>
      <c r="B27" s="6"/>
    </row>
    <row r="28" spans="1:3" ht="16.5" thickBot="1">
      <c r="A28" s="10"/>
    </row>
    <row r="29" spans="1:3" ht="16.5" thickBot="1">
      <c r="A29" s="10" t="s">
        <v>7</v>
      </c>
      <c r="C29" s="11">
        <f>B26*C18+B27*B8</f>
        <v>0</v>
      </c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A6" sqref="A6"/>
    </sheetView>
  </sheetViews>
  <sheetFormatPr defaultColWidth="11.42578125" defaultRowHeight="12.75"/>
  <cols>
    <col min="1" max="16384" width="11.42578125" style="12"/>
  </cols>
  <sheetData/>
  <phoneticPr fontId="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Solution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Jeff Camm</cp:lastModifiedBy>
  <cp:lastPrinted>1997-08-13T15:24:17Z</cp:lastPrinted>
  <dcterms:created xsi:type="dcterms:W3CDTF">1997-08-13T14:51:22Z</dcterms:created>
  <dcterms:modified xsi:type="dcterms:W3CDTF">2010-03-14T17:35:52Z</dcterms:modified>
</cp:coreProperties>
</file>