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ate1904="1" codeName="ThisWorkbook" defaultThemeVersion="124226"/>
  <bookViews>
    <workbookView xWindow="675" yWindow="75" windowWidth="11415" windowHeight="4860"/>
  </bookViews>
  <sheets>
    <sheet name="Solution" sheetId="1" r:id="rId1"/>
    <sheet name="P0 Function" sheetId="2" state="veryHidden" r:id="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  <sheet name="Sheet14" sheetId="15" r:id="rId14"/>
    <sheet name="Sheet15" sheetId="16" r:id="rId15"/>
    <sheet name="Sheet16" sheetId="17" r:id="rId16"/>
  </sheets>
  <functionGroups/>
  <calcPr calcId="125725"/>
</workbook>
</file>

<file path=xl/calcChain.xml><?xml version="1.0" encoding="utf-8"?>
<calcChain xmlns="http://schemas.openxmlformats.org/spreadsheetml/2006/main">
  <c r="C14" i="1"/>
  <c r="C15" l="1"/>
  <c r="C19"/>
  <c r="C17" l="1"/>
  <c r="C18" s="1"/>
  <c r="C16"/>
  <c r="C27" s="1"/>
</calcChain>
</file>

<file path=xl/sharedStrings.xml><?xml version="1.0" encoding="utf-8"?>
<sst xmlns="http://schemas.openxmlformats.org/spreadsheetml/2006/main" count="18" uniqueCount="18">
  <si>
    <t xml:space="preserve">Assumptions  </t>
  </si>
  <si>
    <t xml:space="preserve">     Poisson Arrivals</t>
  </si>
  <si>
    <t xml:space="preserve">     Exponential Service Times</t>
  </si>
  <si>
    <t>Operating Characteristics</t>
  </si>
  <si>
    <t xml:space="preserve">     The waiting cost per unit</t>
  </si>
  <si>
    <t xml:space="preserve">     The service cost per channel</t>
  </si>
  <si>
    <t xml:space="preserve">     Total cost per time period</t>
  </si>
  <si>
    <t xml:space="preserve">      Number of Channels</t>
  </si>
  <si>
    <t>Probability that no customers are in the system, Po</t>
  </si>
  <si>
    <t>Average number of customers in the waiting line, Lq</t>
  </si>
  <si>
    <t>Average number of customers in the system, L</t>
  </si>
  <si>
    <t>Average time a customer spends in the waiting line, Wq</t>
  </si>
  <si>
    <t>Average time a customer spends in the system, W</t>
  </si>
  <si>
    <t>Probability an arriving customer has to wait, Pw</t>
  </si>
  <si>
    <t>Multiple-Channel Waiting Line Model</t>
  </si>
  <si>
    <t>Economic Analysis (Optional)</t>
  </si>
  <si>
    <t xml:space="preserve">      Arrival Rate</t>
  </si>
  <si>
    <t xml:space="preserve">      Service Rate For Each Channel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</si>
</sst>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5" formatCode="0.0000"/>
  </numFmts>
  <fonts count="5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65" fontId="3" fillId="2" borderId="1" xfId="0" applyNumberFormat="1" applyFont="1" applyFill="1" applyBorder="1"/>
    <xf numFmtId="165" fontId="3" fillId="2" borderId="2" xfId="0" applyNumberFormat="1" applyFont="1" applyFill="1" applyBorder="1"/>
    <xf numFmtId="165" fontId="3" fillId="2" borderId="3" xfId="0" applyNumberFormat="1" applyFont="1" applyFill="1" applyBorder="1"/>
    <xf numFmtId="0" fontId="3" fillId="0" borderId="0" xfId="0" applyFont="1" applyAlignment="1">
      <alignment horizontal="left"/>
    </xf>
    <xf numFmtId="44" fontId="3" fillId="2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27"/>
  <sheetViews>
    <sheetView tabSelected="1" workbookViewId="0"/>
  </sheetViews>
  <sheetFormatPr defaultColWidth="10.7109375" defaultRowHeight="15.75"/>
  <cols>
    <col min="1" max="1" width="38.7109375" style="2" customWidth="1"/>
    <col min="2" max="2" width="11.7109375" style="2" customWidth="1"/>
    <col min="3" max="3" width="12.28515625" style="2" customWidth="1"/>
    <col min="4" max="16384" width="10.7109375" style="2"/>
  </cols>
  <sheetData>
    <row r="1" spans="1:3" ht="18.75">
      <c r="A1" s="1" t="s">
        <v>14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 ht="16.5" thickBot="1"/>
    <row r="7" spans="1:3">
      <c r="A7" s="2" t="s">
        <v>7</v>
      </c>
      <c r="B7" s="4">
        <v>2</v>
      </c>
    </row>
    <row r="8" spans="1:3">
      <c r="A8" s="2" t="s">
        <v>16</v>
      </c>
      <c r="B8" s="5">
        <v>0.75</v>
      </c>
    </row>
    <row r="9" spans="1:3" ht="16.5" thickBot="1">
      <c r="A9" s="2" t="s">
        <v>17</v>
      </c>
      <c r="B9" s="6">
        <v>1</v>
      </c>
    </row>
    <row r="12" spans="1:3">
      <c r="A12" s="3" t="s">
        <v>3</v>
      </c>
    </row>
    <row r="13" spans="1:3" ht="16.5" thickBot="1"/>
    <row r="14" spans="1:3">
      <c r="A14" s="2" t="s">
        <v>8</v>
      </c>
      <c r="C14" s="7">
        <f>P0(B7,B8,B9)</f>
        <v>0.45454545454545453</v>
      </c>
    </row>
    <row r="15" spans="1:3">
      <c r="A15" s="2" t="s">
        <v>9</v>
      </c>
      <c r="C15" s="8">
        <f>(((B8/B9)^B7*B8*B9)/(FACT(B7-1)*(B7*B9-B8)^2))*C14</f>
        <v>0.12272727272727273</v>
      </c>
    </row>
    <row r="16" spans="1:3">
      <c r="A16" s="2" t="s">
        <v>10</v>
      </c>
      <c r="C16" s="8">
        <f>C15+B8/B9</f>
        <v>0.87272727272727268</v>
      </c>
    </row>
    <row r="17" spans="1:3">
      <c r="A17" s="2" t="s">
        <v>11</v>
      </c>
      <c r="C17" s="8">
        <f>C15/B8</f>
        <v>0.16363636363636364</v>
      </c>
    </row>
    <row r="18" spans="1:3">
      <c r="A18" s="2" t="s">
        <v>12</v>
      </c>
      <c r="C18" s="8">
        <f>C17+1/B9</f>
        <v>1.1636363636363636</v>
      </c>
    </row>
    <row r="19" spans="1:3" ht="16.5" thickBot="1">
      <c r="A19" s="2" t="s">
        <v>13</v>
      </c>
      <c r="C19" s="9">
        <f>(1/FACT(B7))*(B8/B9)^B7*(B7*B9/(B7*B9-B8))*C14</f>
        <v>0.20454545454545453</v>
      </c>
    </row>
    <row r="22" spans="1:3">
      <c r="A22" s="3" t="s">
        <v>15</v>
      </c>
    </row>
    <row r="23" spans="1:3" ht="16.5" thickBot="1"/>
    <row r="24" spans="1:3">
      <c r="A24" s="10" t="s">
        <v>4</v>
      </c>
      <c r="B24" s="4"/>
    </row>
    <row r="25" spans="1:3" ht="16.5" thickBot="1">
      <c r="A25" s="10" t="s">
        <v>5</v>
      </c>
      <c r="B25" s="6"/>
    </row>
    <row r="26" spans="1:3" ht="16.5" thickBot="1">
      <c r="A26" s="10"/>
    </row>
    <row r="27" spans="1:3" ht="16.5" thickBot="1">
      <c r="A27" s="10" t="s">
        <v>6</v>
      </c>
      <c r="C27" s="11">
        <f>B24*C16+B25*B7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Jeff Camm</cp:lastModifiedBy>
  <dcterms:created xsi:type="dcterms:W3CDTF">1997-06-02T20:06:35Z</dcterms:created>
  <dcterms:modified xsi:type="dcterms:W3CDTF">2010-03-14T17:36:11Z</dcterms:modified>
</cp:coreProperties>
</file>