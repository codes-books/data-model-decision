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date1904="1" codeName="ThisWorkbook" defaultThemeVersion="124226"/>
  <bookViews>
    <workbookView xWindow="675" yWindow="75" windowWidth="11415" windowHeight="4860"/>
  </bookViews>
  <sheets>
    <sheet name="Solution" sheetId="1" r:id="rId1"/>
    <sheet name="Pj Function" sheetId="2" state="veryHidden" r:id=""/>
    <sheet name="Sheet2" sheetId="3" r:id="rId2"/>
    <sheet name="Sheet3" sheetId="4" r:id="rId3"/>
    <sheet name="Sheet4" sheetId="5" r:id="rId4"/>
    <sheet name="Sheet5" sheetId="6" r:id="rId5"/>
    <sheet name="Sheet6" sheetId="7" r:id="rId6"/>
    <sheet name="Sheet7" sheetId="8" r:id="rId7"/>
    <sheet name="Sheet8" sheetId="9" r:id="rId8"/>
    <sheet name="Sheet9" sheetId="10" r:id="rId9"/>
    <sheet name="Sheet10" sheetId="11" r:id="rId10"/>
    <sheet name="Sheet11" sheetId="12" r:id="rId11"/>
    <sheet name="Sheet12" sheetId="13" r:id="rId12"/>
    <sheet name="Sheet13" sheetId="14" r:id="rId13"/>
    <sheet name="Sheet14" sheetId="15" r:id="rId14"/>
    <sheet name="Sheet15" sheetId="16" r:id="rId15"/>
    <sheet name="Sheet16" sheetId="17" r:id="rId16"/>
  </sheets>
  <functionGroups/>
  <calcPr calcId="125725"/>
</workbook>
</file>

<file path=xl/calcChain.xml><?xml version="1.0" encoding="utf-8"?>
<calcChain xmlns="http://schemas.openxmlformats.org/spreadsheetml/2006/main">
  <c r="C8" i="1"/>
  <c r="C17"/>
  <c r="C19"/>
  <c r="C21"/>
  <c r="C16"/>
  <c r="C23"/>
  <c r="C18"/>
  <c r="C20"/>
  <c r="C25" l="1"/>
  <c r="C33" s="1"/>
</calcChain>
</file>

<file path=xl/sharedStrings.xml><?xml version="1.0" encoding="utf-8"?>
<sst xmlns="http://schemas.openxmlformats.org/spreadsheetml/2006/main" count="17" uniqueCount="17">
  <si>
    <t xml:space="preserve">Assumptions  </t>
  </si>
  <si>
    <t xml:space="preserve">     Poisson Arrivals</t>
  </si>
  <si>
    <t xml:space="preserve">     Arbitrary Service Times</t>
  </si>
  <si>
    <t>Operating Characteristics</t>
  </si>
  <si>
    <t xml:space="preserve">Number of </t>
  </si>
  <si>
    <t xml:space="preserve">Channels Busy </t>
  </si>
  <si>
    <t>Probability</t>
  </si>
  <si>
    <t xml:space="preserve">     The waiting cost per unit</t>
  </si>
  <si>
    <t xml:space="preserve">     The service cost per channel</t>
  </si>
  <si>
    <t xml:space="preserve">     Total cost per time period</t>
  </si>
  <si>
    <t xml:space="preserve">      Number of Channels</t>
  </si>
  <si>
    <t>Economic Analysis (Optional)</t>
  </si>
  <si>
    <t>Model with No Waiting Allowed</t>
  </si>
  <si>
    <t xml:space="preserve">      Arrival Rate</t>
  </si>
  <si>
    <t xml:space="preserve">      Service Rate For Each Channel</t>
  </si>
  <si>
    <t>Probability units will be blocked</t>
  </si>
  <si>
    <t>Average number of units in the system, L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</si>
</sst>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5" formatCode="0.0000"/>
  </numFmts>
  <fonts count="6">
    <font>
      <sz val="10"/>
      <name val="Geneva"/>
    </font>
    <font>
      <sz val="10"/>
      <name val="Geneva"/>
    </font>
    <font>
      <b/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4" fillId="0" borderId="0" xfId="0" applyFont="1" applyAlignment="1">
      <alignment horizontal="center"/>
    </xf>
    <xf numFmtId="165" fontId="3" fillId="2" borderId="1" xfId="0" applyNumberFormat="1" applyFont="1" applyFill="1" applyBorder="1" applyAlignment="1">
      <alignment horizontal="right"/>
    </xf>
    <xf numFmtId="165" fontId="3" fillId="2" borderId="2" xfId="0" applyNumberFormat="1" applyFont="1" applyFill="1" applyBorder="1" applyAlignment="1">
      <alignment horizontal="right"/>
    </xf>
    <xf numFmtId="165" fontId="3" fillId="2" borderId="3" xfId="0" applyNumberFormat="1" applyFont="1" applyFill="1" applyBorder="1" applyAlignment="1">
      <alignment horizontal="right"/>
    </xf>
    <xf numFmtId="0" fontId="3" fillId="0" borderId="0" xfId="0" applyFont="1" applyAlignment="1">
      <alignment horizontal="center"/>
    </xf>
    <xf numFmtId="165" fontId="3" fillId="0" borderId="0" xfId="0" applyNumberFormat="1" applyFont="1" applyBorder="1" applyAlignment="1">
      <alignment horizontal="right"/>
    </xf>
    <xf numFmtId="165" fontId="3" fillId="2" borderId="4" xfId="0" applyNumberFormat="1" applyFont="1" applyFill="1" applyBorder="1" applyAlignment="1">
      <alignment horizontal="right"/>
    </xf>
    <xf numFmtId="0" fontId="5" fillId="0" borderId="0" xfId="0" applyFont="1"/>
    <xf numFmtId="0" fontId="3" fillId="0" borderId="0" xfId="0" applyFont="1" applyAlignment="1">
      <alignment horizontal="left"/>
    </xf>
    <xf numFmtId="44" fontId="3" fillId="2" borderId="4" xfId="1" applyFont="1" applyFill="1" applyBorder="1"/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33"/>
  <sheetViews>
    <sheetView tabSelected="1" workbookViewId="0"/>
  </sheetViews>
  <sheetFormatPr defaultColWidth="17.140625" defaultRowHeight="15.75"/>
  <cols>
    <col min="1" max="1" width="38.28515625" style="2" customWidth="1"/>
    <col min="2" max="2" width="15.5703125" style="2" customWidth="1"/>
    <col min="3" max="3" width="12.28515625" style="2" customWidth="1"/>
    <col min="4" max="16384" width="17.140625" style="2"/>
  </cols>
  <sheetData>
    <row r="1" spans="1:3" ht="18.75">
      <c r="A1" s="1" t="s">
        <v>12</v>
      </c>
    </row>
    <row r="3" spans="1:3">
      <c r="A3" s="3" t="s">
        <v>0</v>
      </c>
    </row>
    <row r="4" spans="1:3">
      <c r="A4" s="3" t="s">
        <v>1</v>
      </c>
    </row>
    <row r="5" spans="1:3">
      <c r="A5" s="3" t="s">
        <v>2</v>
      </c>
    </row>
    <row r="6" spans="1:3">
      <c r="A6" s="3"/>
    </row>
    <row r="7" spans="1:3" ht="16.5" thickBot="1"/>
    <row r="8" spans="1:3">
      <c r="A8" s="2" t="s">
        <v>10</v>
      </c>
      <c r="B8" s="4">
        <v>4</v>
      </c>
      <c r="C8" s="2" t="str">
        <f>IF(B8&gt;5,"    Warning:     Max Channels = 5","")</f>
        <v/>
      </c>
    </row>
    <row r="9" spans="1:3">
      <c r="A9" s="2" t="s">
        <v>13</v>
      </c>
      <c r="B9" s="5">
        <v>12</v>
      </c>
    </row>
    <row r="10" spans="1:3" ht="16.5" thickBot="1">
      <c r="A10" s="2" t="s">
        <v>14</v>
      </c>
      <c r="B10" s="6">
        <v>6</v>
      </c>
    </row>
    <row r="13" spans="1:3">
      <c r="A13" s="3" t="s">
        <v>3</v>
      </c>
    </row>
    <row r="14" spans="1:3">
      <c r="A14" s="3"/>
      <c r="B14" s="7" t="s">
        <v>4</v>
      </c>
    </row>
    <row r="15" spans="1:3" ht="16.5" thickBot="1">
      <c r="B15" s="7" t="s">
        <v>5</v>
      </c>
      <c r="C15" s="7" t="s">
        <v>6</v>
      </c>
    </row>
    <row r="16" spans="1:3">
      <c r="B16" s="17">
        <v>0</v>
      </c>
      <c r="C16" s="8">
        <f t="shared" ref="C16:C21" si="0">Pj($B$8,$B$9,$B$10,B16)</f>
        <v>0.14285714285714285</v>
      </c>
    </row>
    <row r="17" spans="1:3">
      <c r="B17" s="18">
        <v>1</v>
      </c>
      <c r="C17" s="9">
        <f t="shared" si="0"/>
        <v>0.2857142857142857</v>
      </c>
    </row>
    <row r="18" spans="1:3">
      <c r="B18" s="18">
        <v>2</v>
      </c>
      <c r="C18" s="9">
        <f t="shared" si="0"/>
        <v>0.2857142857142857</v>
      </c>
    </row>
    <row r="19" spans="1:3">
      <c r="B19" s="18">
        <v>3</v>
      </c>
      <c r="C19" s="9">
        <f t="shared" si="0"/>
        <v>0.19047619047619047</v>
      </c>
    </row>
    <row r="20" spans="1:3">
      <c r="B20" s="18">
        <v>4</v>
      </c>
      <c r="C20" s="9">
        <f t="shared" si="0"/>
        <v>9.5238095238095233E-2</v>
      </c>
    </row>
    <row r="21" spans="1:3" ht="16.5" thickBot="1">
      <c r="B21" s="19">
        <v>5</v>
      </c>
      <c r="C21" s="10" t="str">
        <f t="shared" si="0"/>
        <v xml:space="preserve">    -    </v>
      </c>
    </row>
    <row r="22" spans="1:3" ht="16.5" thickBot="1">
      <c r="B22" s="11"/>
      <c r="C22" s="12"/>
    </row>
    <row r="23" spans="1:3" ht="16.5" thickBot="1">
      <c r="A23" s="2" t="s">
        <v>15</v>
      </c>
      <c r="C23" s="13">
        <f>ProbBlock(B8,B9,B10)</f>
        <v>9.5238095238095233E-2</v>
      </c>
    </row>
    <row r="24" spans="1:3" ht="16.5" thickBot="1">
      <c r="C24" s="12"/>
    </row>
    <row r="25" spans="1:3" ht="16.5" thickBot="1">
      <c r="A25" s="2" t="s">
        <v>16</v>
      </c>
      <c r="C25" s="13">
        <f>(B9/B10)*(1-C23)</f>
        <v>1.8095238095238095</v>
      </c>
    </row>
    <row r="26" spans="1:3" s="14" customFormat="1" ht="12.75"/>
    <row r="28" spans="1:3">
      <c r="A28" s="3" t="s">
        <v>11</v>
      </c>
    </row>
    <row r="29" spans="1:3" ht="16.5" thickBot="1"/>
    <row r="30" spans="1:3">
      <c r="A30" s="15" t="s">
        <v>7</v>
      </c>
      <c r="B30" s="4"/>
    </row>
    <row r="31" spans="1:3" ht="16.5" thickBot="1">
      <c r="A31" s="15" t="s">
        <v>8</v>
      </c>
      <c r="B31" s="6"/>
    </row>
    <row r="32" spans="1:3" ht="16.5" thickBot="1">
      <c r="A32" s="15"/>
    </row>
    <row r="33" spans="1:3" ht="16.5" thickBot="1">
      <c r="A33" s="15" t="s">
        <v>9</v>
      </c>
      <c r="C33" s="16">
        <f>B30*C25+B31*B8</f>
        <v>0</v>
      </c>
    </row>
  </sheetData>
  <phoneticPr fontId="0" type="noConversion"/>
  <printOptions gridLines="1" gridLinesSet="0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Solution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R. Anderson</dc:creator>
  <cp:lastModifiedBy>Jeff Camm</cp:lastModifiedBy>
  <cp:lastPrinted>2006-08-15T18:21:08Z</cp:lastPrinted>
  <dcterms:created xsi:type="dcterms:W3CDTF">1997-06-02T20:12:32Z</dcterms:created>
  <dcterms:modified xsi:type="dcterms:W3CDTF">2010-03-14T17:36:35Z</dcterms:modified>
</cp:coreProperties>
</file>